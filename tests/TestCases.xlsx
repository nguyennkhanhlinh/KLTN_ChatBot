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inh\Desktop\KLTN_ChatBot\tests\"/>
    </mc:Choice>
  </mc:AlternateContent>
  <xr:revisionPtr revIDLastSave="0" documentId="13_ncr:1_{770F9624-A539-4024-841B-1B0EEB9646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</sheets>
  <definedNames>
    <definedName name="_xlnm._FilterDatabase" localSheetId="0" hidden="1">'Test Cases'!$A$1:$F$121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</calcChain>
</file>

<file path=xl/sharedStrings.xml><?xml version="1.0" encoding="utf-8"?>
<sst xmlns="http://schemas.openxmlformats.org/spreadsheetml/2006/main" count="708" uniqueCount="461">
  <si>
    <t>Mã Test case</t>
  </si>
  <si>
    <t>Mục tiêu</t>
  </si>
  <si>
    <t>Dữ liệu đầu vào</t>
  </si>
  <si>
    <t>Thực tế</t>
  </si>
  <si>
    <t>Kết quả</t>
  </si>
  <si>
    <t>TC01</t>
  </si>
  <si>
    <t>Kiểm tra endpoint /health</t>
  </si>
  <si>
    <t>GET /health</t>
  </si>
  <si>
    <t>HTTP 200, body {status: ok}</t>
  </si>
  <si>
    <t>Đạt</t>
  </si>
  <si>
    <t>TC02</t>
  </si>
  <si>
    <t>Chặn /chat khi thiếu token</t>
  </si>
  <si>
    <t>POST /chat không kèm token</t>
  </si>
  <si>
    <t>HTTP 401</t>
  </si>
  <si>
    <t>TC03</t>
  </si>
  <si>
    <t>Chặn /auth/me khi thiếu token</t>
  </si>
  <si>
    <t>GET /auth/me không kèm token</t>
  </si>
  <si>
    <t>TC04</t>
  </si>
  <si>
    <t>Chặn /sessions khi thiếu token</t>
  </si>
  <si>
    <t>GET /sessions không kèm token</t>
  </si>
  <si>
    <t>TC05</t>
  </si>
  <si>
    <t>Chặn /admin/users khi thiếu token</t>
  </si>
  <si>
    <t>GET /admin/users không kèm token</t>
  </si>
  <si>
    <t>TC06</t>
  </si>
  <si>
    <t>Chặn user thường truy cập admin</t>
  </si>
  <si>
    <t>GET /admin/users với token role=user</t>
  </si>
  <si>
    <t>HTTP 403</t>
  </si>
  <si>
    <t>TC07</t>
  </si>
  <si>
    <t>Từ chối token không hợp lệ</t>
  </si>
  <si>
    <t>GET /auth/me Bearer rac-roi</t>
  </si>
  <si>
    <t>TC08</t>
  </si>
  <si>
    <t>Chat trả lời văn bản</t>
  </si>
  <si>
    <t>POST /chat {question: Xin chào} (LLM mock)</t>
  </si>
  <si>
    <t>200, type=text, content=Mocked answer, có usage</t>
  </si>
  <si>
    <t>TC09</t>
  </si>
  <si>
    <t>Chat trả về biểu đồ</t>
  </si>
  <si>
    <t>POST /chat vẽ biểu đồ (mock chart_tool)</t>
  </si>
  <si>
    <t>200, type=chart, chart_type=bar</t>
  </si>
  <si>
    <t>TC10</t>
  </si>
  <si>
    <t>Chat trả về hỗn hợp text+chart</t>
  </si>
  <si>
    <t>POST /chat phân tích (mock chart + recommendation)</t>
  </si>
  <si>
    <t>200, type=mixed, chart line + text gợi ý</t>
  </si>
  <si>
    <t>TC11</t>
  </si>
  <si>
    <t>Chat với session_id &amp; model tuỳ chọn</t>
  </si>
  <si>
    <t>POST /chat {session_id: s1, model: gpt-4.1-mini}</t>
  </si>
  <si>
    <t>HTTP 200</t>
  </si>
  <si>
    <t>TC12</t>
  </si>
  <si>
    <t>Lỗi LLM ở /chat ném ra ngoài</t>
  </si>
  <si>
    <t>POST /chat khi LLM raise RuntimeError</t>
  </si>
  <si>
    <t>Raise RuntimeError('LLM sap') -&gt; 500</t>
  </si>
  <si>
    <t>TC13</t>
  </si>
  <si>
    <t>Stream phát sự kiện done</t>
  </si>
  <si>
    <t>POST /chat/stream {question: hi} (LLM mock)</t>
  </si>
  <si>
    <t>200, body có step, done, Mocked answer</t>
  </si>
  <si>
    <t>TC14</t>
  </si>
  <si>
    <t>Stream phát sự kiện error</t>
  </si>
  <si>
    <t>POST /chat/stream khi LLM raise</t>
  </si>
  <si>
    <t>200, body có type=error + 'LLM sap'</t>
  </si>
  <si>
    <t>TC15</t>
  </si>
  <si>
    <t>Validate username quá ngắn</t>
  </si>
  <si>
    <t>POST /auth/register username=ab</t>
  </si>
  <si>
    <t>HTTP 400</t>
  </si>
  <si>
    <t>TC16</t>
  </si>
  <si>
    <t>Validate mật khẩu quá ngắn</t>
  </si>
  <si>
    <t>POST /auth/register password=123</t>
  </si>
  <si>
    <t>TC17</t>
  </si>
  <si>
    <t>Đăng nhập thành công</t>
  </si>
  <si>
    <t>POST /auth/login alice/secret</t>
  </si>
  <si>
    <t>200, trả username, role, access_token</t>
  </si>
  <si>
    <t>TC18</t>
  </si>
  <si>
    <t>Đăng nhập sai mật khẩu</t>
  </si>
  <si>
    <t>POST /auth/login alice/sai</t>
  </si>
  <si>
    <t>TC19</t>
  </si>
  <si>
    <t>Đăng nhập user không tồn tại</t>
  </si>
  <si>
    <t>POST /auth/login ghost/x</t>
  </si>
  <si>
    <t>TC20</t>
  </si>
  <si>
    <t>Đăng ký thành công</t>
  </si>
  <si>
    <t>POST /auth/register newuser/123456</t>
  </si>
  <si>
    <t>201, trả username=newuser</t>
  </si>
  <si>
    <t>TC21</t>
  </si>
  <si>
    <t>Đăng ký trùng username</t>
  </si>
  <si>
    <t>POST /auth/register dup (DB lỗi duplicate)</t>
  </si>
  <si>
    <t>TC22</t>
  </si>
  <si>
    <t>Lấy thông tin user hiện tại</t>
  </si>
  <si>
    <t>GET /auth/me (mock_db có user)</t>
  </si>
  <si>
    <t>200, username=alice</t>
  </si>
  <si>
    <t>TC23</t>
  </si>
  <si>
    <t>User hiện tại không tồn tại</t>
  </si>
  <si>
    <t>GET /auth/me (mock_db rỗng)</t>
  </si>
  <si>
    <t>HTTP 404</t>
  </si>
  <si>
    <t>TC24</t>
  </si>
  <si>
    <t>Danh sách phiên rỗng</t>
  </si>
  <si>
    <t>GET /sessions</t>
  </si>
  <si>
    <t>200, []</t>
  </si>
  <si>
    <t>TC25</t>
  </si>
  <si>
    <t>Lấy phiên rỗng</t>
  </si>
  <si>
    <t>GET /sessions/abc</t>
  </si>
  <si>
    <t>200, {messages: []}</t>
  </si>
  <si>
    <t>TC26</t>
  </si>
  <si>
    <t>Xoá phiên</t>
  </si>
  <si>
    <t>DELETE /sessions/abc</t>
  </si>
  <si>
    <t>200, {ok: true}</t>
  </si>
  <si>
    <t>TC27</t>
  </si>
  <si>
    <t>Admin: danh sách user rỗng</t>
  </si>
  <si>
    <t>GET /admin/users (admin)</t>
  </si>
  <si>
    <t>TC28</t>
  </si>
  <si>
    <t>Admin: tạo user thành công</t>
  </si>
  <si>
    <t>POST /admin/users bob/123456/user</t>
  </si>
  <si>
    <t>200, id=7</t>
  </si>
  <si>
    <t>TC29</t>
  </si>
  <si>
    <t>Admin: tạo user role không hợp lệ</t>
  </si>
  <si>
    <t>POST /admin/users role=superadmin</t>
  </si>
  <si>
    <t>TC30</t>
  </si>
  <si>
    <t>Admin: migrate phiên</t>
  </si>
  <si>
    <t>POST /admin/migrate-sessions</t>
  </si>
  <si>
    <t>200, {migrated: 0}</t>
  </si>
  <si>
    <t>TC31</t>
  </si>
  <si>
    <t>Admin: danh sách phiên rỗng</t>
  </si>
  <si>
    <t>GET /admin/sessions</t>
  </si>
  <si>
    <t>TC32</t>
  </si>
  <si>
    <t>Chặn POST /feedback thiếu token</t>
  </si>
  <si>
    <t>POST /feedback không token</t>
  </si>
  <si>
    <t>TC33</t>
  </si>
  <si>
    <t>Chặn GET /feedback thiếu token</t>
  </si>
  <si>
    <t>GET /feedback/s1 không token</t>
  </si>
  <si>
    <t>TC34</t>
  </si>
  <si>
    <t>Gửi đánh giá like</t>
  </si>
  <si>
    <t>POST /feedback rating=like</t>
  </si>
  <si>
    <t>200, INSERT...ON CONFLICT, params đúng</t>
  </si>
  <si>
    <t>TC35</t>
  </si>
  <si>
    <t>Gửi dislike kèm lý do</t>
  </si>
  <si>
    <t>POST /feedback dislike + reason + comment</t>
  </si>
  <si>
    <t>200, INSERT, params đúng</t>
  </si>
  <si>
    <t>TC36</t>
  </si>
  <si>
    <t>Bỏ đánh giá -&gt; xoá</t>
  </si>
  <si>
    <t>POST /feedback không rating</t>
  </si>
  <si>
    <t>200, DELETE FROM message_feedback, params đúng</t>
  </si>
  <si>
    <t>TC37</t>
  </si>
  <si>
    <t>Lấy feedback theo phiên</t>
  </si>
  <si>
    <t>GET /feedback/s1 (mock 2 dòng)</t>
  </si>
  <si>
    <t>200, list 2 feedback đúng</t>
  </si>
  <si>
    <t>TC38</t>
  </si>
  <si>
    <t>Lấy feedback rỗng</t>
  </si>
  <si>
    <t>GET /feedback/s1</t>
  </si>
  <si>
    <t>200, {feedback: []}</t>
  </si>
  <si>
    <t>TC39</t>
  </si>
  <si>
    <t>Chặn user thường vào /admin/stats</t>
  </si>
  <si>
    <t>GET /admin/stats (role=user)</t>
  </si>
  <si>
    <t>TC40</t>
  </si>
  <si>
    <t>Thống kê KPI dashboard</t>
  </si>
  <si>
    <t>GET /admin/stats (admin, mock KPI)</t>
  </si>
  <si>
    <t>200, KPI đúng, khối biểu đồ rỗng</t>
  </si>
  <si>
    <t>TC41</t>
  </si>
  <si>
    <t>Đếm like/dislike trong stats</t>
  </si>
  <si>
    <t>GET /admin/stats (mock feedback)</t>
  </si>
  <si>
    <t>200, like_count=4, dislike_count=1</t>
  </si>
  <si>
    <t>TC42</t>
  </si>
  <si>
    <t>Lưu &amp; đọc bộ nhớ user</t>
  </si>
  <si>
    <t>save_user_memory(u1, preferences) rồi get</t>
  </si>
  <si>
    <t>Ghi đúng namespace, đọc lại đúng giá trị</t>
  </si>
  <si>
    <t>TC43</t>
  </si>
  <si>
    <t>Đọc key bộ nhớ không tồn tại</t>
  </si>
  <si>
    <t>get_user_memory(u1, khong-co)</t>
  </si>
  <si>
    <t>Trả về None</t>
  </si>
  <si>
    <t>TC44</t>
  </si>
  <si>
    <t>Lưu khi chưa init store</t>
  </si>
  <si>
    <t>save_user_memory khi _store=None</t>
  </si>
  <si>
    <t>Raise AssertionError</t>
  </si>
  <si>
    <t>TC45</t>
  </si>
  <si>
    <t>Đọc khi chưa init store</t>
  </si>
  <si>
    <t>get_user_memory khi _store=None</t>
  </si>
  <si>
    <t>TC46</t>
  </si>
  <si>
    <t>Cập nhật sở thích từ rỗng</t>
  </si>
  <si>
    <t>update_user_preferences(u1, [2 rule])</t>
  </si>
  <si>
    <t>Lưu {rules: [2 rule]}</t>
  </si>
  <si>
    <t>TC47</t>
  </si>
  <si>
    <t>Khử trùng sở thích</t>
  </si>
  <si>
    <t>update_user_preferences thêm rule trùng</t>
  </si>
  <si>
    <t>Giữ thứ tự, không thêm rule trùng</t>
  </si>
  <si>
    <t>TC48</t>
  </si>
  <si>
    <t>Khử trùng hồ sơ (profile)</t>
  </si>
  <si>
    <t>update_user_profile thêm rule mới</t>
  </si>
  <si>
    <t>Lưu đúng, không trùng</t>
  </si>
  <si>
    <t>TC49</t>
  </si>
  <si>
    <t>Khử trùng sở thích theo ngữ nghĩa</t>
  </si>
  <si>
    <t>update_user_preferences câu trùng nghĩa khác chữ (BĐS = bất động sản)</t>
  </si>
  <si>
    <t>Gộp câu trùng nghĩa, giữ câu khác khu vực</t>
  </si>
  <si>
    <t>TC50</t>
  </si>
  <si>
    <t>Đóng bộ nhớ dài hạn</t>
  </si>
  <si>
    <t>close_long_memory() khi đã init</t>
  </si>
  <si>
    <t>Thoát context, _store/_cm=None</t>
  </si>
  <si>
    <t>TC51</t>
  </si>
  <si>
    <t>Đóng bộ nhớ khi chưa init (noop)</t>
  </si>
  <si>
    <t>close_long_memory() khi _cm=None</t>
  </si>
  <si>
    <t>Không lỗi, _cm vẫn None</t>
  </si>
  <si>
    <t>TC52</t>
  </si>
  <si>
    <t>Ẩn thread (xoá mềm)</t>
  </si>
  <si>
    <t>hide_thread(t-123)</t>
  </si>
  <si>
    <t>INSERT INTO hidden_threads ... ON CONFLICT, params=(t-123,)</t>
  </si>
  <si>
    <t>TC53</t>
  </si>
  <si>
    <t>Lấy thread đã ẩn (khử trùng)</t>
  </si>
  <si>
    <t>get_hidden_thread_ids() data có trùng</t>
  </si>
  <si>
    <t>Trả set {a, b}</t>
  </si>
  <si>
    <t>TC54</t>
  </si>
  <si>
    <t>Lấy thread ẩn khi rỗng</t>
  </si>
  <si>
    <t>get_hidden_thread_ids() data rỗng</t>
  </si>
  <si>
    <t>Trả set() rỗng</t>
  </si>
  <si>
    <t>TC55</t>
  </si>
  <si>
    <t>Đóng checkpointer</t>
  </si>
  <si>
    <t>close_checkpointer() khi đã init</t>
  </si>
  <si>
    <t>pool.closed=True, _pool=None</t>
  </si>
  <si>
    <t>TC56</t>
  </si>
  <si>
    <t>Đóng checkpointer khi đã đóng (noop)</t>
  </si>
  <si>
    <t>close_checkpointer() khi _pool=None</t>
  </si>
  <si>
    <t>Không lỗi, _pool=None</t>
  </si>
  <si>
    <t>TC57</t>
  </si>
  <si>
    <t>Cộng 2 số dương</t>
  </si>
  <si>
    <t>add(a=2, b=3)</t>
  </si>
  <si>
    <t>TC58</t>
  </si>
  <si>
    <t>Cộng số âm</t>
  </si>
  <si>
    <t>add(a=-5, b=2)</t>
  </si>
  <si>
    <t>TC59</t>
  </si>
  <si>
    <t>Cộng số thập phân</t>
  </si>
  <si>
    <t>add(a=1.5, b=2.5)</t>
  </si>
  <si>
    <t>TC60</t>
  </si>
  <si>
    <t>Trừ cơ bản</t>
  </si>
  <si>
    <t>subtract(a=10, b=4)</t>
  </si>
  <si>
    <t>TC61</t>
  </si>
  <si>
    <t>Trừ ra kết quả âm</t>
  </si>
  <si>
    <t>subtract(a=3, b=8)</t>
  </si>
  <si>
    <t>TC62</t>
  </si>
  <si>
    <t>Nhân cơ bản</t>
  </si>
  <si>
    <t>multiply(a=4, b=3)</t>
  </si>
  <si>
    <t>TC63</t>
  </si>
  <si>
    <t>Nhân với 0</t>
  </si>
  <si>
    <t>multiply(a=99, b=0)</t>
  </si>
  <si>
    <t>TC64</t>
  </si>
  <si>
    <t>Chia cơ bản</t>
  </si>
  <si>
    <t>divide(a=10, b=2)</t>
  </si>
  <si>
    <t>TC65</t>
  </si>
  <si>
    <t>Chia ra số thập phân</t>
  </si>
  <si>
    <t>divide(a=7, b=2)</t>
  </si>
  <si>
    <t>TC66</t>
  </si>
  <si>
    <t>Chia cho 0</t>
  </si>
  <si>
    <t>divide(a=5, b=0)</t>
  </si>
  <si>
    <t>Trả chuỗi 'Lỗi: Không thể chia cho 0'</t>
  </si>
  <si>
    <t>TC67</t>
  </si>
  <si>
    <t>Chặn DROP</t>
  </si>
  <si>
    <t>execute_sql(DROP TABLE properties)</t>
  </si>
  <si>
    <t>Báo 'không được phép' + DROP, không thực thi</t>
  </si>
  <si>
    <t>TC68</t>
  </si>
  <si>
    <t>Chặn DELETE</t>
  </si>
  <si>
    <t>execute_sql(DELETE FROM properties WHERE ...)</t>
  </si>
  <si>
    <t>'không được phép' + DELETE, không thực thi</t>
  </si>
  <si>
    <t>TC69</t>
  </si>
  <si>
    <t>Chặn INSERT</t>
  </si>
  <si>
    <t>execute_sql(INSERT INTO properties ...)</t>
  </si>
  <si>
    <t>'không được phép' + INSERT, không thực thi</t>
  </si>
  <si>
    <t>TC70</t>
  </si>
  <si>
    <t>Chặn UPDATE</t>
  </si>
  <si>
    <t>execute_sql(UPDATE properties SET ...)</t>
  </si>
  <si>
    <t>'không được phép' + UPDATE, không thực thi</t>
  </si>
  <si>
    <t>TC71</t>
  </si>
  <si>
    <t>Chặn ALTER</t>
  </si>
  <si>
    <t>execute_sql(ALTER TABLE properties ...)</t>
  </si>
  <si>
    <t>'không được phép' + ALTER, không thực thi</t>
  </si>
  <si>
    <t>TC72</t>
  </si>
  <si>
    <t>Chặn TRUNCATE</t>
  </si>
  <si>
    <t>execute_sql(TRUNCATE properties)</t>
  </si>
  <si>
    <t>'không được phép' + TRUNCATE, không thực thi</t>
  </si>
  <si>
    <t>TC73</t>
  </si>
  <si>
    <t>Chặn GRANT</t>
  </si>
  <si>
    <t>execute_sql(GRANT ALL ...)</t>
  </si>
  <si>
    <t>'không được phép' + GRANT, không thực thi</t>
  </si>
  <si>
    <t>TC74</t>
  </si>
  <si>
    <t>Chặn REVOKE</t>
  </si>
  <si>
    <t>execute_sql(REVOKE ALL ...)</t>
  </si>
  <si>
    <t>'không được phép' + REVOKE, không thực thi</t>
  </si>
  <si>
    <t>TC75</t>
  </si>
  <si>
    <t>Chặn REPLACE</t>
  </si>
  <si>
    <t>execute_sql(REPLACE INTO properties ...)</t>
  </si>
  <si>
    <t>'không được phép' + REPLACE, không thực thi</t>
  </si>
  <si>
    <t>TC76</t>
  </si>
  <si>
    <t>Chặn không phân biệt hoa thường</t>
  </si>
  <si>
    <t>execute_sql('drop table properties')</t>
  </si>
  <si>
    <t>Vẫn chặn, báo DROP</t>
  </si>
  <si>
    <t>TC77</t>
  </si>
  <si>
    <t>Chặn nhiều từ khoá, sắp xếp (gồm CREATE)</t>
  </si>
  <si>
    <t>execute_sql(DROP ...; CREATE ...)</t>
  </si>
  <si>
    <t>Báo 'CREATE, DROP' (sort theo alphabet), không thực thi</t>
  </si>
  <si>
    <t>TC78</t>
  </si>
  <si>
    <t>Xuất kết quả dạng text</t>
  </si>
  <si>
    <t>SELECT ma_code, quan FROM properties</t>
  </si>
  <si>
    <t>Bảng text: header + '1 | Q1', '2 | Q2'</t>
  </si>
  <si>
    <t>TC79</t>
  </si>
  <si>
    <t>Tự thêm LIMIT 100</t>
  </si>
  <si>
    <t>SELECT ma_code FROM properties</t>
  </si>
  <si>
    <t>SQL thực thi có 'LIMIT 100'</t>
  </si>
  <si>
    <t>TC80</t>
  </si>
  <si>
    <t>Giữ LIMIT có sẵn</t>
  </si>
  <si>
    <t>SELECT ma_code FROM properties LIMIT 5</t>
  </si>
  <si>
    <t>Không thêm 'LIMIT 100'</t>
  </si>
  <si>
    <t>TC81</t>
  </si>
  <si>
    <t>Xuất kết quả dạng JSON</t>
  </si>
  <si>
    <t>SELECT ... output_format=json</t>
  </si>
  <si>
    <t>{columns, data}; giá trị -&gt; str, None giữ nguyên</t>
  </si>
  <si>
    <t>TC82</t>
  </si>
  <si>
    <t>Truy vấn 0 dòng</t>
  </si>
  <si>
    <t>SELECT ... WHERE 1=0</t>
  </si>
  <si>
    <t>Trả 'Không tìm thấy dữ liệu phù hợp.'</t>
  </si>
  <si>
    <t>TC83</t>
  </si>
  <si>
    <t>Câu lệnh không trả dữ liệu</t>
  </si>
  <si>
    <t>SELECT set_config(...) (description=None)</t>
  </si>
  <si>
    <t>Báo 'không có dữ liệu trả về'</t>
  </si>
  <si>
    <t>TC84</t>
  </si>
  <si>
    <t>Lỗi DB khi chạy SQL</t>
  </si>
  <si>
    <t>SELECT * FROM properties (DB raise)</t>
  </si>
  <si>
    <t>Báo 'Lỗi khi thực thi SQL' + 'connection lost'</t>
  </si>
  <si>
    <t>TC85</t>
  </si>
  <si>
    <t>Lấy schema bảng</t>
  </si>
  <si>
    <t>get_schema(table_name=properties)</t>
  </si>
  <si>
    <t>Liệt kê cột + kiểu dữ liệu + mô tả</t>
  </si>
  <si>
    <t>TC86</t>
  </si>
  <si>
    <t>Bảng không tồn tại</t>
  </si>
  <si>
    <t>get_schema(khong_ton_tai)</t>
  </si>
  <si>
    <t>'Không tìm thấy bảng khong_ton_tai.'</t>
  </si>
  <si>
    <t>TC87</t>
  </si>
  <si>
    <t>Lỗi khi lấy schema</t>
  </si>
  <si>
    <t>get_schema khi DB raise</t>
  </si>
  <si>
    <t>Báo 'Lỗi khi lấy schema'</t>
  </si>
  <si>
    <t>TC88</t>
  </si>
  <si>
    <t>Cột rỗng</t>
  </si>
  <si>
    <t>get_unique_values(columns=[])</t>
  </si>
  <si>
    <t>'Lỗi: cần ít nhất 1 cột.', không thực thi</t>
  </si>
  <si>
    <t>TC89</t>
  </si>
  <si>
    <t>Một cột</t>
  </si>
  <si>
    <t>get_unique_values(columns=[quan])</t>
  </si>
  <si>
    <t>'quan (3): Q1, Q2, Q3'</t>
  </si>
  <si>
    <t>TC90</t>
  </si>
  <si>
    <t>Nhiều cột</t>
  </si>
  <si>
    <t>get_unique_values([quan, phap_ly])</t>
  </si>
  <si>
    <t>2 dòng, đúng giá trị mỗi cột</t>
  </si>
  <si>
    <t>TC91</t>
  </si>
  <si>
    <t>Lỗi khi lấy giá trị duy nhất</t>
  </si>
  <si>
    <t>get_unique_values khi DB raise</t>
  </si>
  <si>
    <t>Báo 'Lỗi:' + 'undefined column'</t>
  </si>
  <si>
    <t>TC92</t>
  </si>
  <si>
    <t>Chỉ có vốn, không thu nhập/mục tiêu</t>
  </si>
  <si>
    <t>calculate_finance(equity=2, rate=9, term=20)</t>
  </si>
  <si>
    <t>max_budget=None, chi phí phát sinh tính trên vốn</t>
  </si>
  <si>
    <t>TC93</t>
  </si>
  <si>
    <t>Có thu nhập tháng</t>
  </si>
  <si>
    <t>+ monthly_income=30</t>
  </si>
  <si>
    <t>pmt_max=40% thu nhập, max_loan&gt;0, max_budget=vốn+vay</t>
  </si>
  <si>
    <t>TC94</t>
  </si>
  <si>
    <t>Biên LTV an toàn</t>
  </si>
  <si>
    <t>equity=4, target=10</t>
  </si>
  <si>
    <t>loan=6, LTV=60%, mức 'An toàn'</t>
  </si>
  <si>
    <t>TC95</t>
  </si>
  <si>
    <t>Biên LTV chấp nhận được</t>
  </si>
  <si>
    <t>equity=3, target=10</t>
  </si>
  <si>
    <t>LTV=70%, mức 'Chấp nhận được'</t>
  </si>
  <si>
    <t>TC96</t>
  </si>
  <si>
    <t>LTV rủi ro cao</t>
  </si>
  <si>
    <t>equity=2, target=10</t>
  </si>
  <si>
    <t>LTV=80%, mức 'Rủi ro cao'</t>
  </si>
  <si>
    <t>TC97</t>
  </si>
  <si>
    <t>Vốn đủ mua, không cần vay</t>
  </si>
  <si>
    <t>equity=12, target=10</t>
  </si>
  <si>
    <t>loan=0, không có monthly_payment</t>
  </si>
  <si>
    <t>TC98</t>
  </si>
  <si>
    <t>Kết hợp thu nhập + giá mục tiêu</t>
  </si>
  <si>
    <t>equity=3, income=40, target=8</t>
  </si>
  <si>
    <t>có max_budget &amp; monthly_payment, chi phí base=target</t>
  </si>
  <si>
    <t>TC99</t>
  </si>
  <si>
    <t>So sánh vay: không cần vay</t>
  </si>
  <si>
    <t>compare(equity=10, target=8)</t>
  </si>
  <si>
    <t>error 'không cần vay'</t>
  </si>
  <si>
    <t>TC100</t>
  </si>
  <si>
    <t>So sánh theo kỳ hạn thiếu lãi suất</t>
  </si>
  <si>
    <t>compare_by=term, không interest_rate</t>
  </si>
  <si>
    <t>error chứa 'interest_rate'</t>
  </si>
  <si>
    <t>TC101</t>
  </si>
  <si>
    <t>So sánh theo kỳ hạn</t>
  </si>
  <si>
    <t>compare_by=term, rate=9</t>
  </si>
  <si>
    <t>horizontal_bar, terms 10-30; kỳ dài -&gt; trả góp thấp, lãi cao</t>
  </si>
  <si>
    <t>TC102</t>
  </si>
  <si>
    <t>So sánh theo lãi suất thiếu kỳ hạn</t>
  </si>
  <si>
    <t>compare_by=rate, không term</t>
  </si>
  <si>
    <t>error chứa 'loan_term_years'</t>
  </si>
  <si>
    <t>TC103</t>
  </si>
  <si>
    <t>So sánh theo lãi suất mặc định</t>
  </si>
  <si>
    <t>compare_by=rate, term=20</t>
  </si>
  <si>
    <t>rates 7-12; lãi cao -&gt; trả góp cao</t>
  </si>
  <si>
    <t>TC104</t>
  </si>
  <si>
    <t>So sánh lãi suất tuỳ chỉnh</t>
  </si>
  <si>
    <t>custom_rates=[6.5, 7.5]</t>
  </si>
  <si>
    <t>scenarios đúng [6.5, 7.5]</t>
  </si>
  <si>
    <t>TC105</t>
  </si>
  <si>
    <t>Lãi hỗn hợp: không cần vay</t>
  </si>
  <si>
    <t>equity=12</t>
  </si>
  <si>
    <t>TC106</t>
  </si>
  <si>
    <t>Năm ưu đãi quá dài</t>
  </si>
  <si>
    <t>promo_years=25</t>
  </si>
  <si>
    <t>error chứa 'nhỏ hơn'</t>
  </si>
  <si>
    <t>TC107</t>
  </si>
  <si>
    <t>Cấu trúc &amp; LTV</t>
  </si>
  <si>
    <t>BASE (equity=3, target=10)</t>
  </si>
  <si>
    <t>loan=7, LTV=70%, 'Chấp nhận được', đủ các khối key</t>
  </si>
  <si>
    <t>TC108</t>
  </si>
  <si>
    <t>Trả góp tăng sau ưu đãi</t>
  </si>
  <si>
    <t>BASE (promo 8%, floating 12%)</t>
  </si>
  <si>
    <t>trả góp thả nổi &gt; ưu đãi, payment_jump&gt;0</t>
  </si>
  <si>
    <t>TC109</t>
  </si>
  <si>
    <t>Khả năng chi trả khi có thu nhập</t>
  </si>
  <si>
    <t>+ monthly_income=50</t>
  </si>
  <si>
    <t>có affordability, promo/floating_feasible là bool</t>
  </si>
  <si>
    <t>TC110</t>
  </si>
  <si>
    <t>Không có thu nhập -&gt; không affordability</t>
  </si>
  <si>
    <t>BASE</t>
  </si>
  <si>
    <t>không có khoá 'affordability'</t>
  </si>
  <si>
    <t>TC111</t>
  </si>
  <si>
    <t>ma_codes rỗng -&gt; trả rỗng ngay</t>
  </si>
  <si>
    <t>retrieve_context(query, ma_codes=[])</t>
  </si>
  <si>
    <t>content='', artifact=[]</t>
  </si>
  <si>
    <t>TC112</t>
  </si>
  <si>
    <t>Vector search không kết quả</t>
  </si>
  <si>
    <t>vs.results=[]</t>
  </si>
  <si>
    <t>TC113</t>
  </si>
  <si>
    <t>Ngưỡng + top-k + thứ tự rerank</t>
  </si>
  <si>
    <t>3 docs (1 dưới ngưỡng), k=2</t>
  </si>
  <si>
    <t>artifact mã ['2','3'], có 'Content:'</t>
  </si>
  <si>
    <t>TC114</t>
  </si>
  <si>
    <t>Lọc theo ma_codes</t>
  </si>
  <si>
    <t>docs có mã ngoài 1..10</t>
  </si>
  <si>
    <t>chỉ giữ {1, 2}, loại 999</t>
  </si>
  <si>
    <t>TC115</t>
  </si>
  <si>
    <t>Loại doc điểm rerank âm</t>
  </si>
  <si>
    <t>scores=[-1.0, 0.5]</t>
  </si>
  <si>
    <t>artifact=['2']</t>
  </si>
  <si>
    <t>TC116</t>
  </si>
  <si>
    <t>Khử trùng cùng ma_code</t>
  </si>
  <si>
    <t>2 doc cùng mã 5</t>
  </si>
  <si>
    <t>còn 1 doc, ['5']</t>
  </si>
  <si>
    <t>TC117</t>
  </si>
  <si>
    <t>Reranker pairs rỗng không gọi HTTP</t>
  </si>
  <si>
    <t>predict([])</t>
  </si>
  <si>
    <t>trả [], không gọi requests.post</t>
  </si>
  <si>
    <t>TC118</t>
  </si>
  <si>
    <t>Map điểm rerank theo index</t>
  </si>
  <si>
    <t>predict 2 cặp, API trả index đảo</t>
  </si>
  <si>
    <t>[0.3, 0.8], gọi đúng endpoint /rerank</t>
  </si>
  <si>
    <t>TC119</t>
  </si>
  <si>
    <t>Thiếu index -&gt; điểm mặc định 0</t>
  </si>
  <si>
    <t>API chỉ chấm 1 doc</t>
  </si>
  <si>
    <t>[0.9, 0.0]</t>
  </si>
  <si>
    <t>TC120</t>
  </si>
  <si>
    <t>Lỗi HTTP -&gt; raise</t>
  </si>
  <si>
    <t>API raise_for_status lỗi</t>
  </si>
  <si>
    <t>raise RuntimeError</t>
  </si>
  <si>
    <t>Kết quả mong đợi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</si>
</sst>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.5"/>
      <name val="Calibri"/>
    </font>
    <font>
      <b/>
      <sz val="11"/>
      <color rgb="FF006100"/>
      <name val="Calibri"/>
    </font>
    <font>
      <b/>
      <sz val="11"/>
      <color theme="1"/>
      <name val="Calibri"/>
      <family val="2"/>
    </font>
    <font>
      <sz val="10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style="1" customWidth="1"/>
    <col min="2" max="2" width="40" customWidth="1"/>
    <col min="3" max="3" width="42" customWidth="1"/>
    <col min="4" max="5" width="46" customWidth="1"/>
    <col min="6" max="6" width="11" customWidth="1"/>
  </cols>
  <sheetData>
    <row r="1" spans="1:6" ht="25.95" customHeight="1" x14ac:dyDescent="0.3">
      <c r="A1" s="2" t="s">
        <v>0</v>
      </c>
      <c r="B1" s="2" t="s">
        <v>1</v>
      </c>
      <c r="C1" s="2" t="s">
        <v>2</v>
      </c>
      <c r="D1" s="2" t="s">
        <v>460</v>
      </c>
      <c r="E1" s="2" t="s">
        <v>3</v>
      </c>
      <c r="F1" s="2" t="s">
        <v>4</v>
      </c>
    </row>
    <row r="2" spans="1:6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8</v>
      </c>
      <c r="F2" s="4" t="s">
        <v>9</v>
      </c>
    </row>
    <row r="3" spans="1:6" x14ac:dyDescent="0.3">
      <c r="A3" s="2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4" t="s">
        <v>9</v>
      </c>
    </row>
    <row r="4" spans="1:6" x14ac:dyDescent="0.3">
      <c r="A4" s="2" t="s">
        <v>14</v>
      </c>
      <c r="B4" s="3" t="s">
        <v>15</v>
      </c>
      <c r="C4" s="3" t="s">
        <v>16</v>
      </c>
      <c r="D4" s="3" t="s">
        <v>13</v>
      </c>
      <c r="E4" s="3" t="s">
        <v>13</v>
      </c>
      <c r="F4" s="4" t="s">
        <v>9</v>
      </c>
    </row>
    <row r="5" spans="1:6" x14ac:dyDescent="0.3">
      <c r="A5" s="2" t="s">
        <v>17</v>
      </c>
      <c r="B5" s="3" t="s">
        <v>18</v>
      </c>
      <c r="C5" s="3" t="s">
        <v>19</v>
      </c>
      <c r="D5" s="3" t="s">
        <v>13</v>
      </c>
      <c r="E5" s="3" t="s">
        <v>13</v>
      </c>
      <c r="F5" s="4" t="s">
        <v>9</v>
      </c>
    </row>
    <row r="6" spans="1:6" x14ac:dyDescent="0.3">
      <c r="A6" s="2" t="s">
        <v>20</v>
      </c>
      <c r="B6" s="3" t="s">
        <v>21</v>
      </c>
      <c r="C6" s="3" t="s">
        <v>22</v>
      </c>
      <c r="D6" s="3" t="s">
        <v>13</v>
      </c>
      <c r="E6" s="3" t="s">
        <v>13</v>
      </c>
      <c r="F6" s="4" t="s">
        <v>9</v>
      </c>
    </row>
    <row r="7" spans="1:6" x14ac:dyDescent="0.3">
      <c r="A7" s="2" t="s">
        <v>23</v>
      </c>
      <c r="B7" s="3" t="s">
        <v>24</v>
      </c>
      <c r="C7" s="3" t="s">
        <v>25</v>
      </c>
      <c r="D7" s="3" t="s">
        <v>26</v>
      </c>
      <c r="E7" s="3" t="s">
        <v>26</v>
      </c>
      <c r="F7" s="4" t="s">
        <v>9</v>
      </c>
    </row>
    <row r="8" spans="1:6" x14ac:dyDescent="0.3">
      <c r="A8" s="2" t="s">
        <v>27</v>
      </c>
      <c r="B8" s="3" t="s">
        <v>28</v>
      </c>
      <c r="C8" s="3" t="s">
        <v>29</v>
      </c>
      <c r="D8" s="3" t="s">
        <v>13</v>
      </c>
      <c r="E8" s="3" t="s">
        <v>13</v>
      </c>
      <c r="F8" s="4" t="s">
        <v>9</v>
      </c>
    </row>
    <row r="9" spans="1:6" x14ac:dyDescent="0.3">
      <c r="A9" s="2" t="s">
        <v>30</v>
      </c>
      <c r="B9" s="3" t="s">
        <v>31</v>
      </c>
      <c r="C9" s="5" t="s">
        <v>32</v>
      </c>
      <c r="D9" s="3" t="s">
        <v>33</v>
      </c>
      <c r="E9" s="3" t="s">
        <v>33</v>
      </c>
      <c r="F9" s="4" t="s">
        <v>9</v>
      </c>
    </row>
    <row r="10" spans="1:6" x14ac:dyDescent="0.3">
      <c r="A10" s="2" t="s">
        <v>34</v>
      </c>
      <c r="B10" s="3" t="s">
        <v>35</v>
      </c>
      <c r="C10" s="3" t="s">
        <v>36</v>
      </c>
      <c r="D10" s="3" t="s">
        <v>37</v>
      </c>
      <c r="E10" s="3" t="s">
        <v>37</v>
      </c>
      <c r="F10" s="4" t="s">
        <v>9</v>
      </c>
    </row>
    <row r="11" spans="1:6" ht="28.8" x14ac:dyDescent="0.3">
      <c r="A11" s="2" t="s">
        <v>38</v>
      </c>
      <c r="B11" s="3" t="s">
        <v>39</v>
      </c>
      <c r="C11" s="3" t="s">
        <v>40</v>
      </c>
      <c r="D11" s="3" t="s">
        <v>41</v>
      </c>
      <c r="E11" s="3" t="s">
        <v>41</v>
      </c>
      <c r="F11" s="4" t="s">
        <v>9</v>
      </c>
    </row>
    <row r="12" spans="1:6" x14ac:dyDescent="0.3">
      <c r="A12" s="2" t="s">
        <v>42</v>
      </c>
      <c r="B12" s="3" t="s">
        <v>43</v>
      </c>
      <c r="C12" s="3" t="s">
        <v>44</v>
      </c>
      <c r="D12" s="3" t="s">
        <v>45</v>
      </c>
      <c r="E12" s="3" t="s">
        <v>45</v>
      </c>
      <c r="F12" s="4" t="s">
        <v>9</v>
      </c>
    </row>
    <row r="13" spans="1:6" x14ac:dyDescent="0.3">
      <c r="A13" s="2" t="s">
        <v>46</v>
      </c>
      <c r="B13" s="3" t="s">
        <v>47</v>
      </c>
      <c r="C13" s="3" t="s">
        <v>48</v>
      </c>
      <c r="D13" s="3" t="s">
        <v>49</v>
      </c>
      <c r="E13" s="3" t="s">
        <v>49</v>
      </c>
      <c r="F13" s="4" t="s">
        <v>9</v>
      </c>
    </row>
    <row r="14" spans="1:6" x14ac:dyDescent="0.3">
      <c r="A14" s="2" t="s">
        <v>50</v>
      </c>
      <c r="B14" s="3" t="s">
        <v>51</v>
      </c>
      <c r="C14" s="3" t="s">
        <v>52</v>
      </c>
      <c r="D14" s="3" t="s">
        <v>53</v>
      </c>
      <c r="E14" s="3" t="s">
        <v>53</v>
      </c>
      <c r="F14" s="4" t="s">
        <v>9</v>
      </c>
    </row>
    <row r="15" spans="1:6" x14ac:dyDescent="0.3">
      <c r="A15" s="2" t="s">
        <v>54</v>
      </c>
      <c r="B15" s="3" t="s">
        <v>55</v>
      </c>
      <c r="C15" s="3" t="s">
        <v>56</v>
      </c>
      <c r="D15" s="3" t="s">
        <v>57</v>
      </c>
      <c r="E15" s="3" t="s">
        <v>57</v>
      </c>
      <c r="F15" s="4" t="s">
        <v>9</v>
      </c>
    </row>
    <row r="16" spans="1:6" x14ac:dyDescent="0.3">
      <c r="A16" s="2" t="s">
        <v>58</v>
      </c>
      <c r="B16" s="3" t="s">
        <v>59</v>
      </c>
      <c r="C16" s="3" t="s">
        <v>60</v>
      </c>
      <c r="D16" s="3" t="s">
        <v>61</v>
      </c>
      <c r="E16" s="3" t="s">
        <v>61</v>
      </c>
      <c r="F16" s="4" t="s">
        <v>9</v>
      </c>
    </row>
    <row r="17" spans="1:6" x14ac:dyDescent="0.3">
      <c r="A17" s="2" t="s">
        <v>62</v>
      </c>
      <c r="B17" s="3" t="s">
        <v>63</v>
      </c>
      <c r="C17" s="3" t="s">
        <v>64</v>
      </c>
      <c r="D17" s="3" t="s">
        <v>61</v>
      </c>
      <c r="E17" s="3" t="s">
        <v>61</v>
      </c>
      <c r="F17" s="4" t="s">
        <v>9</v>
      </c>
    </row>
    <row r="18" spans="1:6" x14ac:dyDescent="0.3">
      <c r="A18" s="2" t="s">
        <v>65</v>
      </c>
      <c r="B18" s="3" t="s">
        <v>66</v>
      </c>
      <c r="C18" s="3" t="s">
        <v>67</v>
      </c>
      <c r="D18" s="3" t="s">
        <v>68</v>
      </c>
      <c r="E18" s="3" t="s">
        <v>68</v>
      </c>
      <c r="F18" s="4" t="s">
        <v>9</v>
      </c>
    </row>
    <row r="19" spans="1:6" x14ac:dyDescent="0.3">
      <c r="A19" s="2" t="s">
        <v>69</v>
      </c>
      <c r="B19" s="3" t="s">
        <v>70</v>
      </c>
      <c r="C19" s="3" t="s">
        <v>71</v>
      </c>
      <c r="D19" s="3" t="s">
        <v>13</v>
      </c>
      <c r="E19" s="3" t="s">
        <v>13</v>
      </c>
      <c r="F19" s="4" t="s">
        <v>9</v>
      </c>
    </row>
    <row r="20" spans="1:6" x14ac:dyDescent="0.3">
      <c r="A20" s="2" t="s">
        <v>72</v>
      </c>
      <c r="B20" s="3" t="s">
        <v>73</v>
      </c>
      <c r="C20" s="3" t="s">
        <v>74</v>
      </c>
      <c r="D20" s="3" t="s">
        <v>13</v>
      </c>
      <c r="E20" s="3" t="s">
        <v>13</v>
      </c>
      <c r="F20" s="4" t="s">
        <v>9</v>
      </c>
    </row>
    <row r="21" spans="1:6" x14ac:dyDescent="0.3">
      <c r="A21" s="2" t="s">
        <v>75</v>
      </c>
      <c r="B21" s="3" t="s">
        <v>76</v>
      </c>
      <c r="C21" s="3" t="s">
        <v>77</v>
      </c>
      <c r="D21" s="3" t="s">
        <v>78</v>
      </c>
      <c r="E21" s="3" t="s">
        <v>78</v>
      </c>
      <c r="F21" s="4" t="s">
        <v>9</v>
      </c>
    </row>
    <row r="22" spans="1:6" x14ac:dyDescent="0.3">
      <c r="A22" s="2" t="s">
        <v>79</v>
      </c>
      <c r="B22" s="3" t="s">
        <v>80</v>
      </c>
      <c r="C22" s="3" t="s">
        <v>81</v>
      </c>
      <c r="D22" s="3" t="s">
        <v>61</v>
      </c>
      <c r="E22" s="3" t="s">
        <v>61</v>
      </c>
      <c r="F22" s="4" t="s">
        <v>9</v>
      </c>
    </row>
    <row r="23" spans="1:6" x14ac:dyDescent="0.3">
      <c r="A23" s="2" t="s">
        <v>82</v>
      </c>
      <c r="B23" s="3" t="s">
        <v>83</v>
      </c>
      <c r="C23" s="3" t="s">
        <v>84</v>
      </c>
      <c r="D23" s="3" t="s">
        <v>85</v>
      </c>
      <c r="E23" s="3" t="s">
        <v>85</v>
      </c>
      <c r="F23" s="4" t="s">
        <v>9</v>
      </c>
    </row>
    <row r="24" spans="1:6" x14ac:dyDescent="0.3">
      <c r="A24" s="2" t="s">
        <v>86</v>
      </c>
      <c r="B24" s="3" t="s">
        <v>87</v>
      </c>
      <c r="C24" s="3" t="s">
        <v>88</v>
      </c>
      <c r="D24" s="3" t="s">
        <v>89</v>
      </c>
      <c r="E24" s="3" t="s">
        <v>89</v>
      </c>
      <c r="F24" s="4" t="s">
        <v>9</v>
      </c>
    </row>
    <row r="25" spans="1:6" x14ac:dyDescent="0.3">
      <c r="A25" s="2" t="s">
        <v>90</v>
      </c>
      <c r="B25" s="3" t="s">
        <v>91</v>
      </c>
      <c r="C25" s="3" t="s">
        <v>92</v>
      </c>
      <c r="D25" s="3" t="s">
        <v>93</v>
      </c>
      <c r="E25" s="3" t="s">
        <v>93</v>
      </c>
      <c r="F25" s="4" t="s">
        <v>9</v>
      </c>
    </row>
    <row r="26" spans="1:6" x14ac:dyDescent="0.3">
      <c r="A26" s="2" t="s">
        <v>94</v>
      </c>
      <c r="B26" s="3" t="s">
        <v>95</v>
      </c>
      <c r="C26" s="3" t="s">
        <v>96</v>
      </c>
      <c r="D26" s="3" t="s">
        <v>97</v>
      </c>
      <c r="E26" s="3" t="s">
        <v>97</v>
      </c>
      <c r="F26" s="4" t="s">
        <v>9</v>
      </c>
    </row>
    <row r="27" spans="1:6" x14ac:dyDescent="0.3">
      <c r="A27" s="2" t="s">
        <v>98</v>
      </c>
      <c r="B27" s="3" t="s">
        <v>99</v>
      </c>
      <c r="C27" s="3" t="s">
        <v>100</v>
      </c>
      <c r="D27" s="3" t="s">
        <v>101</v>
      </c>
      <c r="E27" s="3" t="s">
        <v>101</v>
      </c>
      <c r="F27" s="4" t="s">
        <v>9</v>
      </c>
    </row>
    <row r="28" spans="1:6" x14ac:dyDescent="0.3">
      <c r="A28" s="2" t="s">
        <v>102</v>
      </c>
      <c r="B28" s="3" t="s">
        <v>103</v>
      </c>
      <c r="C28" s="3" t="s">
        <v>104</v>
      </c>
      <c r="D28" s="3" t="s">
        <v>93</v>
      </c>
      <c r="E28" s="3" t="s">
        <v>93</v>
      </c>
      <c r="F28" s="4" t="s">
        <v>9</v>
      </c>
    </row>
    <row r="29" spans="1:6" x14ac:dyDescent="0.3">
      <c r="A29" s="2" t="s">
        <v>105</v>
      </c>
      <c r="B29" s="3" t="s">
        <v>106</v>
      </c>
      <c r="C29" s="3" t="s">
        <v>107</v>
      </c>
      <c r="D29" s="3" t="s">
        <v>108</v>
      </c>
      <c r="E29" s="3" t="s">
        <v>108</v>
      </c>
      <c r="F29" s="4" t="s">
        <v>9</v>
      </c>
    </row>
    <row r="30" spans="1:6" x14ac:dyDescent="0.3">
      <c r="A30" s="2" t="s">
        <v>109</v>
      </c>
      <c r="B30" s="3" t="s">
        <v>110</v>
      </c>
      <c r="C30" s="3" t="s">
        <v>111</v>
      </c>
      <c r="D30" s="3" t="s">
        <v>61</v>
      </c>
      <c r="E30" s="3" t="s">
        <v>61</v>
      </c>
      <c r="F30" s="4" t="s">
        <v>9</v>
      </c>
    </row>
    <row r="31" spans="1:6" x14ac:dyDescent="0.3">
      <c r="A31" s="2" t="s">
        <v>112</v>
      </c>
      <c r="B31" s="3" t="s">
        <v>113</v>
      </c>
      <c r="C31" s="3" t="s">
        <v>114</v>
      </c>
      <c r="D31" s="3" t="s">
        <v>115</v>
      </c>
      <c r="E31" s="3" t="s">
        <v>115</v>
      </c>
      <c r="F31" s="4" t="s">
        <v>9</v>
      </c>
    </row>
    <row r="32" spans="1:6" x14ac:dyDescent="0.3">
      <c r="A32" s="2" t="s">
        <v>116</v>
      </c>
      <c r="B32" s="3" t="s">
        <v>117</v>
      </c>
      <c r="C32" s="3" t="s">
        <v>118</v>
      </c>
      <c r="D32" s="3" t="s">
        <v>93</v>
      </c>
      <c r="E32" s="3" t="s">
        <v>93</v>
      </c>
      <c r="F32" s="4" t="s">
        <v>9</v>
      </c>
    </row>
    <row r="33" spans="1:6" x14ac:dyDescent="0.3">
      <c r="A33" s="2" t="s">
        <v>119</v>
      </c>
      <c r="B33" s="3" t="s">
        <v>120</v>
      </c>
      <c r="C33" s="3" t="s">
        <v>121</v>
      </c>
      <c r="D33" s="3" t="s">
        <v>13</v>
      </c>
      <c r="E33" s="3" t="s">
        <v>13</v>
      </c>
      <c r="F33" s="4" t="s">
        <v>9</v>
      </c>
    </row>
    <row r="34" spans="1:6" x14ac:dyDescent="0.3">
      <c r="A34" s="2" t="s">
        <v>122</v>
      </c>
      <c r="B34" s="3" t="s">
        <v>123</v>
      </c>
      <c r="C34" s="3" t="s">
        <v>124</v>
      </c>
      <c r="D34" s="3" t="s">
        <v>13</v>
      </c>
      <c r="E34" s="3" t="s">
        <v>13</v>
      </c>
      <c r="F34" s="4" t="s">
        <v>9</v>
      </c>
    </row>
    <row r="35" spans="1:6" x14ac:dyDescent="0.3">
      <c r="A35" s="2" t="s">
        <v>125</v>
      </c>
      <c r="B35" s="3" t="s">
        <v>126</v>
      </c>
      <c r="C35" s="3" t="s">
        <v>127</v>
      </c>
      <c r="D35" s="3" t="s">
        <v>128</v>
      </c>
      <c r="E35" s="3" t="s">
        <v>128</v>
      </c>
      <c r="F35" s="4" t="s">
        <v>9</v>
      </c>
    </row>
    <row r="36" spans="1:6" x14ac:dyDescent="0.3">
      <c r="A36" s="2" t="s">
        <v>129</v>
      </c>
      <c r="B36" s="3" t="s">
        <v>130</v>
      </c>
      <c r="C36" s="3" t="s">
        <v>131</v>
      </c>
      <c r="D36" s="3" t="s">
        <v>132</v>
      </c>
      <c r="E36" s="3" t="s">
        <v>132</v>
      </c>
      <c r="F36" s="4" t="s">
        <v>9</v>
      </c>
    </row>
    <row r="37" spans="1:6" x14ac:dyDescent="0.3">
      <c r="A37" s="2" t="s">
        <v>133</v>
      </c>
      <c r="B37" s="3" t="s">
        <v>134</v>
      </c>
      <c r="C37" s="3" t="s">
        <v>135</v>
      </c>
      <c r="D37" s="3" t="s">
        <v>136</v>
      </c>
      <c r="E37" s="3" t="s">
        <v>136</v>
      </c>
      <c r="F37" s="4" t="s">
        <v>9</v>
      </c>
    </row>
    <row r="38" spans="1:6" x14ac:dyDescent="0.3">
      <c r="A38" s="2" t="s">
        <v>137</v>
      </c>
      <c r="B38" s="3" t="s">
        <v>138</v>
      </c>
      <c r="C38" s="3" t="s">
        <v>139</v>
      </c>
      <c r="D38" s="3" t="s">
        <v>140</v>
      </c>
      <c r="E38" s="3" t="s">
        <v>140</v>
      </c>
      <c r="F38" s="4" t="s">
        <v>9</v>
      </c>
    </row>
    <row r="39" spans="1:6" x14ac:dyDescent="0.3">
      <c r="A39" s="2" t="s">
        <v>141</v>
      </c>
      <c r="B39" s="3" t="s">
        <v>142</v>
      </c>
      <c r="C39" s="3" t="s">
        <v>143</v>
      </c>
      <c r="D39" s="3" t="s">
        <v>144</v>
      </c>
      <c r="E39" s="3" t="s">
        <v>144</v>
      </c>
      <c r="F39" s="4" t="s">
        <v>9</v>
      </c>
    </row>
    <row r="40" spans="1:6" x14ac:dyDescent="0.3">
      <c r="A40" s="2" t="s">
        <v>145</v>
      </c>
      <c r="B40" s="3" t="s">
        <v>146</v>
      </c>
      <c r="C40" s="3" t="s">
        <v>147</v>
      </c>
      <c r="D40" s="3" t="s">
        <v>26</v>
      </c>
      <c r="E40" s="3" t="s">
        <v>26</v>
      </c>
      <c r="F40" s="4" t="s">
        <v>9</v>
      </c>
    </row>
    <row r="41" spans="1:6" x14ac:dyDescent="0.3">
      <c r="A41" s="2" t="s">
        <v>148</v>
      </c>
      <c r="B41" s="3" t="s">
        <v>149</v>
      </c>
      <c r="C41" s="3" t="s">
        <v>150</v>
      </c>
      <c r="D41" s="3" t="s">
        <v>151</v>
      </c>
      <c r="E41" s="3" t="s">
        <v>151</v>
      </c>
      <c r="F41" s="4" t="s">
        <v>9</v>
      </c>
    </row>
    <row r="42" spans="1:6" x14ac:dyDescent="0.3">
      <c r="A42" s="2" t="s">
        <v>152</v>
      </c>
      <c r="B42" s="3" t="s">
        <v>153</v>
      </c>
      <c r="C42" s="3" t="s">
        <v>154</v>
      </c>
      <c r="D42" s="3" t="s">
        <v>155</v>
      </c>
      <c r="E42" s="3" t="s">
        <v>155</v>
      </c>
      <c r="F42" s="4" t="s">
        <v>9</v>
      </c>
    </row>
    <row r="43" spans="1:6" x14ac:dyDescent="0.3">
      <c r="A43" s="2" t="s">
        <v>156</v>
      </c>
      <c r="B43" s="3" t="s">
        <v>157</v>
      </c>
      <c r="C43" s="3" t="s">
        <v>158</v>
      </c>
      <c r="D43" s="3" t="s">
        <v>159</v>
      </c>
      <c r="E43" s="3" t="s">
        <v>159</v>
      </c>
      <c r="F43" s="4" t="s">
        <v>9</v>
      </c>
    </row>
    <row r="44" spans="1:6" x14ac:dyDescent="0.3">
      <c r="A44" s="2" t="s">
        <v>160</v>
      </c>
      <c r="B44" s="3" t="s">
        <v>161</v>
      </c>
      <c r="C44" s="3" t="s">
        <v>162</v>
      </c>
      <c r="D44" s="3" t="s">
        <v>163</v>
      </c>
      <c r="E44" s="3" t="s">
        <v>163</v>
      </c>
      <c r="F44" s="4" t="s">
        <v>9</v>
      </c>
    </row>
    <row r="45" spans="1:6" x14ac:dyDescent="0.3">
      <c r="A45" s="2" t="s">
        <v>164</v>
      </c>
      <c r="B45" s="3" t="s">
        <v>165</v>
      </c>
      <c r="C45" s="3" t="s">
        <v>166</v>
      </c>
      <c r="D45" s="3" t="s">
        <v>167</v>
      </c>
      <c r="E45" s="3" t="s">
        <v>167</v>
      </c>
      <c r="F45" s="4" t="s">
        <v>9</v>
      </c>
    </row>
    <row r="46" spans="1:6" x14ac:dyDescent="0.3">
      <c r="A46" s="2" t="s">
        <v>168</v>
      </c>
      <c r="B46" s="3" t="s">
        <v>169</v>
      </c>
      <c r="C46" s="3" t="s">
        <v>170</v>
      </c>
      <c r="D46" s="3" t="s">
        <v>167</v>
      </c>
      <c r="E46" s="3" t="s">
        <v>167</v>
      </c>
      <c r="F46" s="4" t="s">
        <v>9</v>
      </c>
    </row>
    <row r="47" spans="1:6" x14ac:dyDescent="0.3">
      <c r="A47" s="2" t="s">
        <v>171</v>
      </c>
      <c r="B47" s="3" t="s">
        <v>172</v>
      </c>
      <c r="C47" s="3" t="s">
        <v>173</v>
      </c>
      <c r="D47" s="3" t="s">
        <v>174</v>
      </c>
      <c r="E47" s="3" t="s">
        <v>174</v>
      </c>
      <c r="F47" s="4" t="s">
        <v>9</v>
      </c>
    </row>
    <row r="48" spans="1:6" x14ac:dyDescent="0.3">
      <c r="A48" s="2" t="s">
        <v>175</v>
      </c>
      <c r="B48" s="3" t="s">
        <v>176</v>
      </c>
      <c r="C48" s="3" t="s">
        <v>177</v>
      </c>
      <c r="D48" s="3" t="s">
        <v>178</v>
      </c>
      <c r="E48" s="3" t="s">
        <v>178</v>
      </c>
      <c r="F48" s="4" t="s">
        <v>9</v>
      </c>
    </row>
    <row r="49" spans="1:6" x14ac:dyDescent="0.3">
      <c r="A49" s="2" t="s">
        <v>179</v>
      </c>
      <c r="B49" s="3" t="s">
        <v>180</v>
      </c>
      <c r="C49" s="3" t="s">
        <v>181</v>
      </c>
      <c r="D49" s="3" t="s">
        <v>182</v>
      </c>
      <c r="E49" s="3" t="s">
        <v>182</v>
      </c>
      <c r="F49" s="4" t="s">
        <v>9</v>
      </c>
    </row>
    <row r="50" spans="1:6" ht="28.8" x14ac:dyDescent="0.3">
      <c r="A50" s="2" t="s">
        <v>183</v>
      </c>
      <c r="B50" s="3" t="s">
        <v>184</v>
      </c>
      <c r="C50" s="3" t="s">
        <v>185</v>
      </c>
      <c r="D50" s="3" t="s">
        <v>186</v>
      </c>
      <c r="E50" s="3" t="s">
        <v>186</v>
      </c>
      <c r="F50" s="4" t="s">
        <v>9</v>
      </c>
    </row>
    <row r="51" spans="1:6" x14ac:dyDescent="0.3">
      <c r="A51" s="2" t="s">
        <v>187</v>
      </c>
      <c r="B51" s="3" t="s">
        <v>188</v>
      </c>
      <c r="C51" s="3" t="s">
        <v>189</v>
      </c>
      <c r="D51" s="3" t="s">
        <v>190</v>
      </c>
      <c r="E51" s="3" t="s">
        <v>190</v>
      </c>
      <c r="F51" s="4" t="s">
        <v>9</v>
      </c>
    </row>
    <row r="52" spans="1:6" x14ac:dyDescent="0.3">
      <c r="A52" s="2" t="s">
        <v>191</v>
      </c>
      <c r="B52" s="3" t="s">
        <v>192</v>
      </c>
      <c r="C52" s="3" t="s">
        <v>193</v>
      </c>
      <c r="D52" s="3" t="s">
        <v>194</v>
      </c>
      <c r="E52" s="3" t="s">
        <v>194</v>
      </c>
      <c r="F52" s="4" t="s">
        <v>9</v>
      </c>
    </row>
    <row r="53" spans="1:6" ht="28.8" x14ac:dyDescent="0.3">
      <c r="A53" s="2" t="s">
        <v>195</v>
      </c>
      <c r="B53" s="3" t="s">
        <v>196</v>
      </c>
      <c r="C53" s="3" t="s">
        <v>197</v>
      </c>
      <c r="D53" s="3" t="s">
        <v>198</v>
      </c>
      <c r="E53" s="3" t="s">
        <v>198</v>
      </c>
      <c r="F53" s="4" t="s">
        <v>9</v>
      </c>
    </row>
    <row r="54" spans="1:6" x14ac:dyDescent="0.3">
      <c r="A54" s="2" t="s">
        <v>199</v>
      </c>
      <c r="B54" s="3" t="s">
        <v>200</v>
      </c>
      <c r="C54" s="3" t="s">
        <v>201</v>
      </c>
      <c r="D54" s="3" t="s">
        <v>202</v>
      </c>
      <c r="E54" s="3" t="s">
        <v>202</v>
      </c>
      <c r="F54" s="4" t="s">
        <v>9</v>
      </c>
    </row>
    <row r="55" spans="1:6" x14ac:dyDescent="0.3">
      <c r="A55" s="2" t="s">
        <v>203</v>
      </c>
      <c r="B55" s="3" t="s">
        <v>204</v>
      </c>
      <c r="C55" s="3" t="s">
        <v>205</v>
      </c>
      <c r="D55" s="3" t="s">
        <v>206</v>
      </c>
      <c r="E55" s="3" t="s">
        <v>206</v>
      </c>
      <c r="F55" s="4" t="s">
        <v>9</v>
      </c>
    </row>
    <row r="56" spans="1:6" x14ac:dyDescent="0.3">
      <c r="A56" s="2" t="s">
        <v>207</v>
      </c>
      <c r="B56" s="3" t="s">
        <v>208</v>
      </c>
      <c r="C56" s="3" t="s">
        <v>209</v>
      </c>
      <c r="D56" s="3" t="s">
        <v>210</v>
      </c>
      <c r="E56" s="3" t="s">
        <v>210</v>
      </c>
      <c r="F56" s="4" t="s">
        <v>9</v>
      </c>
    </row>
    <row r="57" spans="1:6" x14ac:dyDescent="0.3">
      <c r="A57" s="2" t="s">
        <v>211</v>
      </c>
      <c r="B57" s="3" t="s">
        <v>212</v>
      </c>
      <c r="C57" s="3" t="s">
        <v>213</v>
      </c>
      <c r="D57" s="3" t="s">
        <v>214</v>
      </c>
      <c r="E57" s="3" t="s">
        <v>214</v>
      </c>
      <c r="F57" s="4" t="s">
        <v>9</v>
      </c>
    </row>
    <row r="58" spans="1:6" x14ac:dyDescent="0.3">
      <c r="A58" s="2" t="s">
        <v>215</v>
      </c>
      <c r="B58" s="3" t="s">
        <v>216</v>
      </c>
      <c r="C58" s="3" t="s">
        <v>217</v>
      </c>
      <c r="D58" s="3">
        <f>5</f>
        <v>5</v>
      </c>
      <c r="E58" s="3">
        <f>5</f>
        <v>5</v>
      </c>
      <c r="F58" s="4" t="s">
        <v>9</v>
      </c>
    </row>
    <row r="59" spans="1:6" x14ac:dyDescent="0.3">
      <c r="A59" s="2" t="s">
        <v>218</v>
      </c>
      <c r="B59" s="3" t="s">
        <v>219</v>
      </c>
      <c r="C59" s="3" t="s">
        <v>220</v>
      </c>
      <c r="D59" s="3">
        <f>-3</f>
        <v>-3</v>
      </c>
      <c r="E59" s="3">
        <f>-3</f>
        <v>-3</v>
      </c>
      <c r="F59" s="4" t="s">
        <v>9</v>
      </c>
    </row>
    <row r="60" spans="1:6" x14ac:dyDescent="0.3">
      <c r="A60" s="2" t="s">
        <v>221</v>
      </c>
      <c r="B60" s="3" t="s">
        <v>222</v>
      </c>
      <c r="C60" s="3" t="s">
        <v>223</v>
      </c>
      <c r="D60" s="3">
        <f>4</f>
        <v>4</v>
      </c>
      <c r="E60" s="3">
        <f>4</f>
        <v>4</v>
      </c>
      <c r="F60" s="4" t="s">
        <v>9</v>
      </c>
    </row>
    <row r="61" spans="1:6" x14ac:dyDescent="0.3">
      <c r="A61" s="2" t="s">
        <v>224</v>
      </c>
      <c r="B61" s="3" t="s">
        <v>225</v>
      </c>
      <c r="C61" s="3" t="s">
        <v>226</v>
      </c>
      <c r="D61" s="3">
        <f>6</f>
        <v>6</v>
      </c>
      <c r="E61" s="3">
        <f>6</f>
        <v>6</v>
      </c>
      <c r="F61" s="4" t="s">
        <v>9</v>
      </c>
    </row>
    <row r="62" spans="1:6" x14ac:dyDescent="0.3">
      <c r="A62" s="2" t="s">
        <v>227</v>
      </c>
      <c r="B62" s="3" t="s">
        <v>228</v>
      </c>
      <c r="C62" s="3" t="s">
        <v>229</v>
      </c>
      <c r="D62" s="3">
        <f>-5</f>
        <v>-5</v>
      </c>
      <c r="E62" s="3">
        <f>-5</f>
        <v>-5</v>
      </c>
      <c r="F62" s="4" t="s">
        <v>9</v>
      </c>
    </row>
    <row r="63" spans="1:6" x14ac:dyDescent="0.3">
      <c r="A63" s="2" t="s">
        <v>230</v>
      </c>
      <c r="B63" s="3" t="s">
        <v>231</v>
      </c>
      <c r="C63" s="3" t="s">
        <v>232</v>
      </c>
      <c r="D63" s="3">
        <f>12</f>
        <v>12</v>
      </c>
      <c r="E63" s="3">
        <f>12</f>
        <v>12</v>
      </c>
      <c r="F63" s="4" t="s">
        <v>9</v>
      </c>
    </row>
    <row r="64" spans="1:6" x14ac:dyDescent="0.3">
      <c r="A64" s="2" t="s">
        <v>233</v>
      </c>
      <c r="B64" s="3" t="s">
        <v>234</v>
      </c>
      <c r="C64" s="3" t="s">
        <v>235</v>
      </c>
      <c r="D64" s="3">
        <f>0</f>
        <v>0</v>
      </c>
      <c r="E64" s="3">
        <f>0</f>
        <v>0</v>
      </c>
      <c r="F64" s="4" t="s">
        <v>9</v>
      </c>
    </row>
    <row r="65" spans="1:6" x14ac:dyDescent="0.3">
      <c r="A65" s="2" t="s">
        <v>236</v>
      </c>
      <c r="B65" s="3" t="s">
        <v>237</v>
      </c>
      <c r="C65" s="3" t="s">
        <v>238</v>
      </c>
      <c r="D65" s="3">
        <f>5</f>
        <v>5</v>
      </c>
      <c r="E65" s="3">
        <f>5</f>
        <v>5</v>
      </c>
      <c r="F65" s="4" t="s">
        <v>9</v>
      </c>
    </row>
    <row r="66" spans="1:6" x14ac:dyDescent="0.3">
      <c r="A66" s="2" t="s">
        <v>239</v>
      </c>
      <c r="B66" s="3" t="s">
        <v>240</v>
      </c>
      <c r="C66" s="3" t="s">
        <v>241</v>
      </c>
      <c r="D66" s="3">
        <f>3.5</f>
        <v>3.5</v>
      </c>
      <c r="E66" s="3">
        <f>3.5</f>
        <v>3.5</v>
      </c>
      <c r="F66" s="4" t="s">
        <v>9</v>
      </c>
    </row>
    <row r="67" spans="1:6" x14ac:dyDescent="0.3">
      <c r="A67" s="2" t="s">
        <v>242</v>
      </c>
      <c r="B67" s="3" t="s">
        <v>243</v>
      </c>
      <c r="C67" s="3" t="s">
        <v>244</v>
      </c>
      <c r="D67" s="3" t="s">
        <v>245</v>
      </c>
      <c r="E67" s="3" t="s">
        <v>245</v>
      </c>
      <c r="F67" s="4" t="s">
        <v>9</v>
      </c>
    </row>
    <row r="68" spans="1:6" x14ac:dyDescent="0.3">
      <c r="A68" s="2" t="s">
        <v>246</v>
      </c>
      <c r="B68" s="3" t="s">
        <v>247</v>
      </c>
      <c r="C68" s="3" t="s">
        <v>248</v>
      </c>
      <c r="D68" s="3" t="s">
        <v>249</v>
      </c>
      <c r="E68" s="3" t="s">
        <v>249</v>
      </c>
      <c r="F68" s="4" t="s">
        <v>9</v>
      </c>
    </row>
    <row r="69" spans="1:6" x14ac:dyDescent="0.3">
      <c r="A69" s="2" t="s">
        <v>250</v>
      </c>
      <c r="B69" s="3" t="s">
        <v>251</v>
      </c>
      <c r="C69" s="3" t="s">
        <v>252</v>
      </c>
      <c r="D69" s="3" t="s">
        <v>253</v>
      </c>
      <c r="E69" s="3" t="s">
        <v>253</v>
      </c>
      <c r="F69" s="4" t="s">
        <v>9</v>
      </c>
    </row>
    <row r="70" spans="1:6" x14ac:dyDescent="0.3">
      <c r="A70" s="2" t="s">
        <v>254</v>
      </c>
      <c r="B70" s="3" t="s">
        <v>255</v>
      </c>
      <c r="C70" s="3" t="s">
        <v>256</v>
      </c>
      <c r="D70" s="3" t="s">
        <v>257</v>
      </c>
      <c r="E70" s="3" t="s">
        <v>257</v>
      </c>
      <c r="F70" s="4" t="s">
        <v>9</v>
      </c>
    </row>
    <row r="71" spans="1:6" x14ac:dyDescent="0.3">
      <c r="A71" s="2" t="s">
        <v>258</v>
      </c>
      <c r="B71" s="3" t="s">
        <v>259</v>
      </c>
      <c r="C71" s="3" t="s">
        <v>260</v>
      </c>
      <c r="D71" s="3" t="s">
        <v>261</v>
      </c>
      <c r="E71" s="3" t="s">
        <v>261</v>
      </c>
      <c r="F71" s="4" t="s">
        <v>9</v>
      </c>
    </row>
    <row r="72" spans="1:6" x14ac:dyDescent="0.3">
      <c r="A72" s="2" t="s">
        <v>262</v>
      </c>
      <c r="B72" s="3" t="s">
        <v>263</v>
      </c>
      <c r="C72" s="3" t="s">
        <v>264</v>
      </c>
      <c r="D72" s="3" t="s">
        <v>265</v>
      </c>
      <c r="E72" s="3" t="s">
        <v>265</v>
      </c>
      <c r="F72" s="4" t="s">
        <v>9</v>
      </c>
    </row>
    <row r="73" spans="1:6" x14ac:dyDescent="0.3">
      <c r="A73" s="2" t="s">
        <v>266</v>
      </c>
      <c r="B73" s="3" t="s">
        <v>267</v>
      </c>
      <c r="C73" s="3" t="s">
        <v>268</v>
      </c>
      <c r="D73" s="3" t="s">
        <v>269</v>
      </c>
      <c r="E73" s="3" t="s">
        <v>269</v>
      </c>
      <c r="F73" s="4" t="s">
        <v>9</v>
      </c>
    </row>
    <row r="74" spans="1:6" x14ac:dyDescent="0.3">
      <c r="A74" s="2" t="s">
        <v>270</v>
      </c>
      <c r="B74" s="3" t="s">
        <v>271</v>
      </c>
      <c r="C74" s="3" t="s">
        <v>272</v>
      </c>
      <c r="D74" s="3" t="s">
        <v>273</v>
      </c>
      <c r="E74" s="3" t="s">
        <v>273</v>
      </c>
      <c r="F74" s="4" t="s">
        <v>9</v>
      </c>
    </row>
    <row r="75" spans="1:6" x14ac:dyDescent="0.3">
      <c r="A75" s="2" t="s">
        <v>274</v>
      </c>
      <c r="B75" s="3" t="s">
        <v>275</v>
      </c>
      <c r="C75" s="3" t="s">
        <v>276</v>
      </c>
      <c r="D75" s="3" t="s">
        <v>277</v>
      </c>
      <c r="E75" s="3" t="s">
        <v>277</v>
      </c>
      <c r="F75" s="4" t="s">
        <v>9</v>
      </c>
    </row>
    <row r="76" spans="1:6" x14ac:dyDescent="0.3">
      <c r="A76" s="2" t="s">
        <v>278</v>
      </c>
      <c r="B76" s="3" t="s">
        <v>279</v>
      </c>
      <c r="C76" s="3" t="s">
        <v>280</v>
      </c>
      <c r="D76" s="3" t="s">
        <v>281</v>
      </c>
      <c r="E76" s="3" t="s">
        <v>281</v>
      </c>
      <c r="F76" s="4" t="s">
        <v>9</v>
      </c>
    </row>
    <row r="77" spans="1:6" x14ac:dyDescent="0.3">
      <c r="A77" s="2" t="s">
        <v>282</v>
      </c>
      <c r="B77" s="3" t="s">
        <v>283</v>
      </c>
      <c r="C77" s="3" t="s">
        <v>284</v>
      </c>
      <c r="D77" s="3" t="s">
        <v>285</v>
      </c>
      <c r="E77" s="3" t="s">
        <v>285</v>
      </c>
      <c r="F77" s="4" t="s">
        <v>9</v>
      </c>
    </row>
    <row r="78" spans="1:6" ht="28.8" x14ac:dyDescent="0.3">
      <c r="A78" s="2" t="s">
        <v>286</v>
      </c>
      <c r="B78" s="3" t="s">
        <v>287</v>
      </c>
      <c r="C78" s="3" t="s">
        <v>288</v>
      </c>
      <c r="D78" s="3" t="s">
        <v>289</v>
      </c>
      <c r="E78" s="3" t="s">
        <v>289</v>
      </c>
      <c r="F78" s="4" t="s">
        <v>9</v>
      </c>
    </row>
    <row r="79" spans="1:6" x14ac:dyDescent="0.3">
      <c r="A79" s="2" t="s">
        <v>290</v>
      </c>
      <c r="B79" s="3" t="s">
        <v>291</v>
      </c>
      <c r="C79" s="3" t="s">
        <v>292</v>
      </c>
      <c r="D79" s="3" t="s">
        <v>293</v>
      </c>
      <c r="E79" s="3" t="s">
        <v>293</v>
      </c>
      <c r="F79" s="4" t="s">
        <v>9</v>
      </c>
    </row>
    <row r="80" spans="1:6" x14ac:dyDescent="0.3">
      <c r="A80" s="2" t="s">
        <v>294</v>
      </c>
      <c r="B80" s="3" t="s">
        <v>295</v>
      </c>
      <c r="C80" s="3" t="s">
        <v>296</v>
      </c>
      <c r="D80" s="3" t="s">
        <v>297</v>
      </c>
      <c r="E80" s="3" t="s">
        <v>297</v>
      </c>
      <c r="F80" s="4" t="s">
        <v>9</v>
      </c>
    </row>
    <row r="81" spans="1:6" x14ac:dyDescent="0.3">
      <c r="A81" s="2" t="s">
        <v>298</v>
      </c>
      <c r="B81" s="3" t="s">
        <v>299</v>
      </c>
      <c r="C81" s="3" t="s">
        <v>300</v>
      </c>
      <c r="D81" s="3" t="s">
        <v>301</v>
      </c>
      <c r="E81" s="3" t="s">
        <v>301</v>
      </c>
      <c r="F81" s="4" t="s">
        <v>9</v>
      </c>
    </row>
    <row r="82" spans="1:6" x14ac:dyDescent="0.3">
      <c r="A82" s="2" t="s">
        <v>302</v>
      </c>
      <c r="B82" s="3" t="s">
        <v>303</v>
      </c>
      <c r="C82" s="3" t="s">
        <v>304</v>
      </c>
      <c r="D82" s="3" t="s">
        <v>305</v>
      </c>
      <c r="E82" s="3" t="s">
        <v>305</v>
      </c>
      <c r="F82" s="4" t="s">
        <v>9</v>
      </c>
    </row>
    <row r="83" spans="1:6" x14ac:dyDescent="0.3">
      <c r="A83" s="2" t="s">
        <v>306</v>
      </c>
      <c r="B83" s="3" t="s">
        <v>307</v>
      </c>
      <c r="C83" s="3" t="s">
        <v>308</v>
      </c>
      <c r="D83" s="3" t="s">
        <v>309</v>
      </c>
      <c r="E83" s="3" t="s">
        <v>309</v>
      </c>
      <c r="F83" s="4" t="s">
        <v>9</v>
      </c>
    </row>
    <row r="84" spans="1:6" x14ac:dyDescent="0.3">
      <c r="A84" s="2" t="s">
        <v>310</v>
      </c>
      <c r="B84" s="3" t="s">
        <v>311</v>
      </c>
      <c r="C84" s="3" t="s">
        <v>312</v>
      </c>
      <c r="D84" s="3" t="s">
        <v>313</v>
      </c>
      <c r="E84" s="3" t="s">
        <v>313</v>
      </c>
      <c r="F84" s="4" t="s">
        <v>9</v>
      </c>
    </row>
    <row r="85" spans="1:6" x14ac:dyDescent="0.3">
      <c r="A85" s="2" t="s">
        <v>314</v>
      </c>
      <c r="B85" s="3" t="s">
        <v>315</v>
      </c>
      <c r="C85" s="3" t="s">
        <v>316</v>
      </c>
      <c r="D85" s="3" t="s">
        <v>317</v>
      </c>
      <c r="E85" s="3" t="s">
        <v>317</v>
      </c>
      <c r="F85" s="4" t="s">
        <v>9</v>
      </c>
    </row>
    <row r="86" spans="1:6" x14ac:dyDescent="0.3">
      <c r="A86" s="2" t="s">
        <v>318</v>
      </c>
      <c r="B86" s="3" t="s">
        <v>319</v>
      </c>
      <c r="C86" s="3" t="s">
        <v>320</v>
      </c>
      <c r="D86" s="3" t="s">
        <v>321</v>
      </c>
      <c r="E86" s="3" t="s">
        <v>321</v>
      </c>
      <c r="F86" s="4" t="s">
        <v>9</v>
      </c>
    </row>
    <row r="87" spans="1:6" x14ac:dyDescent="0.3">
      <c r="A87" s="2" t="s">
        <v>322</v>
      </c>
      <c r="B87" s="3" t="s">
        <v>323</v>
      </c>
      <c r="C87" s="3" t="s">
        <v>324</v>
      </c>
      <c r="D87" s="3" t="s">
        <v>325</v>
      </c>
      <c r="E87" s="3" t="s">
        <v>325</v>
      </c>
      <c r="F87" s="4" t="s">
        <v>9</v>
      </c>
    </row>
    <row r="88" spans="1:6" x14ac:dyDescent="0.3">
      <c r="A88" s="2" t="s">
        <v>326</v>
      </c>
      <c r="B88" s="3" t="s">
        <v>327</v>
      </c>
      <c r="C88" s="3" t="s">
        <v>328</v>
      </c>
      <c r="D88" s="3" t="s">
        <v>329</v>
      </c>
      <c r="E88" s="3" t="s">
        <v>329</v>
      </c>
      <c r="F88" s="4" t="s">
        <v>9</v>
      </c>
    </row>
    <row r="89" spans="1:6" x14ac:dyDescent="0.3">
      <c r="A89" s="2" t="s">
        <v>330</v>
      </c>
      <c r="B89" s="3" t="s">
        <v>331</v>
      </c>
      <c r="C89" s="3" t="s">
        <v>332</v>
      </c>
      <c r="D89" s="3" t="s">
        <v>333</v>
      </c>
      <c r="E89" s="3" t="s">
        <v>333</v>
      </c>
      <c r="F89" s="4" t="s">
        <v>9</v>
      </c>
    </row>
    <row r="90" spans="1:6" x14ac:dyDescent="0.3">
      <c r="A90" s="2" t="s">
        <v>334</v>
      </c>
      <c r="B90" s="3" t="s">
        <v>335</v>
      </c>
      <c r="C90" s="3" t="s">
        <v>336</v>
      </c>
      <c r="D90" s="3" t="s">
        <v>337</v>
      </c>
      <c r="E90" s="3" t="s">
        <v>337</v>
      </c>
      <c r="F90" s="4" t="s">
        <v>9</v>
      </c>
    </row>
    <row r="91" spans="1:6" x14ac:dyDescent="0.3">
      <c r="A91" s="2" t="s">
        <v>338</v>
      </c>
      <c r="B91" s="3" t="s">
        <v>339</v>
      </c>
      <c r="C91" s="3" t="s">
        <v>340</v>
      </c>
      <c r="D91" s="3" t="s">
        <v>341</v>
      </c>
      <c r="E91" s="3" t="s">
        <v>341</v>
      </c>
      <c r="F91" s="4" t="s">
        <v>9</v>
      </c>
    </row>
    <row r="92" spans="1:6" x14ac:dyDescent="0.3">
      <c r="A92" s="2" t="s">
        <v>342</v>
      </c>
      <c r="B92" s="3" t="s">
        <v>343</v>
      </c>
      <c r="C92" s="3" t="s">
        <v>344</v>
      </c>
      <c r="D92" s="3" t="s">
        <v>345</v>
      </c>
      <c r="E92" s="3" t="s">
        <v>345</v>
      </c>
      <c r="F92" s="4" t="s">
        <v>9</v>
      </c>
    </row>
    <row r="93" spans="1:6" x14ac:dyDescent="0.3">
      <c r="A93" s="2" t="s">
        <v>346</v>
      </c>
      <c r="B93" s="3" t="s">
        <v>347</v>
      </c>
      <c r="C93" s="3" t="s">
        <v>348</v>
      </c>
      <c r="D93" s="3" t="s">
        <v>349</v>
      </c>
      <c r="E93" s="3" t="s">
        <v>349</v>
      </c>
      <c r="F93" s="4" t="s">
        <v>9</v>
      </c>
    </row>
    <row r="94" spans="1:6" ht="28.8" x14ac:dyDescent="0.3">
      <c r="A94" s="2" t="s">
        <v>350</v>
      </c>
      <c r="B94" s="3" t="s">
        <v>351</v>
      </c>
      <c r="C94" s="3" t="s">
        <v>352</v>
      </c>
      <c r="D94" s="3" t="s">
        <v>353</v>
      </c>
      <c r="E94" s="3" t="s">
        <v>353</v>
      </c>
      <c r="F94" s="4" t="s">
        <v>9</v>
      </c>
    </row>
    <row r="95" spans="1:6" x14ac:dyDescent="0.3">
      <c r="A95" s="2" t="s">
        <v>354</v>
      </c>
      <c r="B95" s="3" t="s">
        <v>355</v>
      </c>
      <c r="C95" s="3" t="s">
        <v>356</v>
      </c>
      <c r="D95" s="3" t="s">
        <v>357</v>
      </c>
      <c r="E95" s="3" t="s">
        <v>357</v>
      </c>
      <c r="F95" s="4" t="s">
        <v>9</v>
      </c>
    </row>
    <row r="96" spans="1:6" x14ac:dyDescent="0.3">
      <c r="A96" s="2" t="s">
        <v>358</v>
      </c>
      <c r="B96" s="3" t="s">
        <v>359</v>
      </c>
      <c r="C96" s="3" t="s">
        <v>360</v>
      </c>
      <c r="D96" s="3" t="s">
        <v>361</v>
      </c>
      <c r="E96" s="3" t="s">
        <v>361</v>
      </c>
      <c r="F96" s="4" t="s">
        <v>9</v>
      </c>
    </row>
    <row r="97" spans="1:6" x14ac:dyDescent="0.3">
      <c r="A97" s="2" t="s">
        <v>362</v>
      </c>
      <c r="B97" s="3" t="s">
        <v>363</v>
      </c>
      <c r="C97" s="3" t="s">
        <v>364</v>
      </c>
      <c r="D97" s="3" t="s">
        <v>365</v>
      </c>
      <c r="E97" s="3" t="s">
        <v>365</v>
      </c>
      <c r="F97" s="4" t="s">
        <v>9</v>
      </c>
    </row>
    <row r="98" spans="1:6" x14ac:dyDescent="0.3">
      <c r="A98" s="2" t="s">
        <v>366</v>
      </c>
      <c r="B98" s="3" t="s">
        <v>367</v>
      </c>
      <c r="C98" s="3" t="s">
        <v>368</v>
      </c>
      <c r="D98" s="3" t="s">
        <v>369</v>
      </c>
      <c r="E98" s="3" t="s">
        <v>369</v>
      </c>
      <c r="F98" s="4" t="s">
        <v>9</v>
      </c>
    </row>
    <row r="99" spans="1:6" ht="28.8" x14ac:dyDescent="0.3">
      <c r="A99" s="2" t="s">
        <v>370</v>
      </c>
      <c r="B99" s="3" t="s">
        <v>371</v>
      </c>
      <c r="C99" s="3" t="s">
        <v>372</v>
      </c>
      <c r="D99" s="3" t="s">
        <v>373</v>
      </c>
      <c r="E99" s="3" t="s">
        <v>373</v>
      </c>
      <c r="F99" s="4" t="s">
        <v>9</v>
      </c>
    </row>
    <row r="100" spans="1:6" x14ac:dyDescent="0.3">
      <c r="A100" s="2" t="s">
        <v>374</v>
      </c>
      <c r="B100" s="3" t="s">
        <v>375</v>
      </c>
      <c r="C100" s="3" t="s">
        <v>376</v>
      </c>
      <c r="D100" s="3" t="s">
        <v>377</v>
      </c>
      <c r="E100" s="3" t="s">
        <v>377</v>
      </c>
      <c r="F100" s="4" t="s">
        <v>9</v>
      </c>
    </row>
    <row r="101" spans="1:6" x14ac:dyDescent="0.3">
      <c r="A101" s="2" t="s">
        <v>378</v>
      </c>
      <c r="B101" s="3" t="s">
        <v>379</v>
      </c>
      <c r="C101" s="3" t="s">
        <v>380</v>
      </c>
      <c r="D101" s="3" t="s">
        <v>381</v>
      </c>
      <c r="E101" s="3" t="s">
        <v>381</v>
      </c>
      <c r="F101" s="4" t="s">
        <v>9</v>
      </c>
    </row>
    <row r="102" spans="1:6" ht="28.8" x14ac:dyDescent="0.3">
      <c r="A102" s="2" t="s">
        <v>382</v>
      </c>
      <c r="B102" s="3" t="s">
        <v>383</v>
      </c>
      <c r="C102" s="3" t="s">
        <v>384</v>
      </c>
      <c r="D102" s="3" t="s">
        <v>385</v>
      </c>
      <c r="E102" s="3" t="s">
        <v>385</v>
      </c>
      <c r="F102" s="4" t="s">
        <v>9</v>
      </c>
    </row>
    <row r="103" spans="1:6" x14ac:dyDescent="0.3">
      <c r="A103" s="2" t="s">
        <v>386</v>
      </c>
      <c r="B103" s="3" t="s">
        <v>387</v>
      </c>
      <c r="C103" s="3" t="s">
        <v>388</v>
      </c>
      <c r="D103" s="3" t="s">
        <v>389</v>
      </c>
      <c r="E103" s="3" t="s">
        <v>389</v>
      </c>
      <c r="F103" s="4" t="s">
        <v>9</v>
      </c>
    </row>
    <row r="104" spans="1:6" x14ac:dyDescent="0.3">
      <c r="A104" s="2" t="s">
        <v>390</v>
      </c>
      <c r="B104" s="3" t="s">
        <v>391</v>
      </c>
      <c r="C104" s="3" t="s">
        <v>392</v>
      </c>
      <c r="D104" s="3" t="s">
        <v>393</v>
      </c>
      <c r="E104" s="3" t="s">
        <v>393</v>
      </c>
      <c r="F104" s="4" t="s">
        <v>9</v>
      </c>
    </row>
    <row r="105" spans="1:6" x14ac:dyDescent="0.3">
      <c r="A105" s="2" t="s">
        <v>394</v>
      </c>
      <c r="B105" s="3" t="s">
        <v>395</v>
      </c>
      <c r="C105" s="3" t="s">
        <v>396</v>
      </c>
      <c r="D105" s="3" t="s">
        <v>397</v>
      </c>
      <c r="E105" s="3" t="s">
        <v>397</v>
      </c>
      <c r="F105" s="4" t="s">
        <v>9</v>
      </c>
    </row>
    <row r="106" spans="1:6" x14ac:dyDescent="0.3">
      <c r="A106" s="2" t="s">
        <v>398</v>
      </c>
      <c r="B106" s="3" t="s">
        <v>399</v>
      </c>
      <c r="C106" s="3" t="s">
        <v>400</v>
      </c>
      <c r="D106" s="3" t="s">
        <v>377</v>
      </c>
      <c r="E106" s="3" t="s">
        <v>377</v>
      </c>
      <c r="F106" s="4" t="s">
        <v>9</v>
      </c>
    </row>
    <row r="107" spans="1:6" x14ac:dyDescent="0.3">
      <c r="A107" s="2" t="s">
        <v>401</v>
      </c>
      <c r="B107" s="3" t="s">
        <v>402</v>
      </c>
      <c r="C107" s="3" t="s">
        <v>403</v>
      </c>
      <c r="D107" s="3" t="s">
        <v>404</v>
      </c>
      <c r="E107" s="3" t="s">
        <v>404</v>
      </c>
      <c r="F107" s="4" t="s">
        <v>9</v>
      </c>
    </row>
    <row r="108" spans="1:6" x14ac:dyDescent="0.3">
      <c r="A108" s="2" t="s">
        <v>405</v>
      </c>
      <c r="B108" s="3" t="s">
        <v>406</v>
      </c>
      <c r="C108" s="3" t="s">
        <v>407</v>
      </c>
      <c r="D108" s="3" t="s">
        <v>408</v>
      </c>
      <c r="E108" s="3" t="s">
        <v>408</v>
      </c>
      <c r="F108" s="4" t="s">
        <v>9</v>
      </c>
    </row>
    <row r="109" spans="1:6" x14ac:dyDescent="0.3">
      <c r="A109" s="2" t="s">
        <v>409</v>
      </c>
      <c r="B109" s="3" t="s">
        <v>410</v>
      </c>
      <c r="C109" s="3" t="s">
        <v>411</v>
      </c>
      <c r="D109" s="3" t="s">
        <v>412</v>
      </c>
      <c r="E109" s="3" t="s">
        <v>412</v>
      </c>
      <c r="F109" s="4" t="s">
        <v>9</v>
      </c>
    </row>
    <row r="110" spans="1:6" x14ac:dyDescent="0.3">
      <c r="A110" s="2" t="s">
        <v>413</v>
      </c>
      <c r="B110" s="3" t="s">
        <v>414</v>
      </c>
      <c r="C110" s="3" t="s">
        <v>415</v>
      </c>
      <c r="D110" s="3" t="s">
        <v>416</v>
      </c>
      <c r="E110" s="3" t="s">
        <v>416</v>
      </c>
      <c r="F110" s="4" t="s">
        <v>9</v>
      </c>
    </row>
    <row r="111" spans="1:6" x14ac:dyDescent="0.3">
      <c r="A111" s="2" t="s">
        <v>417</v>
      </c>
      <c r="B111" s="3" t="s">
        <v>418</v>
      </c>
      <c r="C111" s="3" t="s">
        <v>419</v>
      </c>
      <c r="D111" s="3" t="s">
        <v>420</v>
      </c>
      <c r="E111" s="3" t="s">
        <v>420</v>
      </c>
      <c r="F111" s="4" t="s">
        <v>9</v>
      </c>
    </row>
    <row r="112" spans="1:6" x14ac:dyDescent="0.3">
      <c r="A112" s="2" t="s">
        <v>421</v>
      </c>
      <c r="B112" s="3" t="s">
        <v>422</v>
      </c>
      <c r="C112" s="3" t="s">
        <v>423</v>
      </c>
      <c r="D112" s="3" t="s">
        <v>424</v>
      </c>
      <c r="E112" s="3" t="s">
        <v>424</v>
      </c>
      <c r="F112" s="4" t="s">
        <v>9</v>
      </c>
    </row>
    <row r="113" spans="1:6" x14ac:dyDescent="0.3">
      <c r="A113" s="2" t="s">
        <v>425</v>
      </c>
      <c r="B113" s="3" t="s">
        <v>426</v>
      </c>
      <c r="C113" s="3" t="s">
        <v>427</v>
      </c>
      <c r="D113" s="3" t="s">
        <v>424</v>
      </c>
      <c r="E113" s="3" t="s">
        <v>424</v>
      </c>
      <c r="F113" s="4" t="s">
        <v>9</v>
      </c>
    </row>
    <row r="114" spans="1:6" x14ac:dyDescent="0.3">
      <c r="A114" s="2" t="s">
        <v>428</v>
      </c>
      <c r="B114" s="3" t="s">
        <v>429</v>
      </c>
      <c r="C114" s="3" t="s">
        <v>430</v>
      </c>
      <c r="D114" s="3" t="s">
        <v>431</v>
      </c>
      <c r="E114" s="3" t="s">
        <v>431</v>
      </c>
      <c r="F114" s="4" t="s">
        <v>9</v>
      </c>
    </row>
    <row r="115" spans="1:6" x14ac:dyDescent="0.3">
      <c r="A115" s="2" t="s">
        <v>432</v>
      </c>
      <c r="B115" s="3" t="s">
        <v>433</v>
      </c>
      <c r="C115" s="3" t="s">
        <v>434</v>
      </c>
      <c r="D115" s="3" t="s">
        <v>435</v>
      </c>
      <c r="E115" s="3" t="s">
        <v>435</v>
      </c>
      <c r="F115" s="4" t="s">
        <v>9</v>
      </c>
    </row>
    <row r="116" spans="1:6" x14ac:dyDescent="0.3">
      <c r="A116" s="2" t="s">
        <v>436</v>
      </c>
      <c r="B116" s="3" t="s">
        <v>437</v>
      </c>
      <c r="C116" s="3" t="s">
        <v>438</v>
      </c>
      <c r="D116" s="3" t="s">
        <v>439</v>
      </c>
      <c r="E116" s="3" t="s">
        <v>439</v>
      </c>
      <c r="F116" s="4" t="s">
        <v>9</v>
      </c>
    </row>
    <row r="117" spans="1:6" x14ac:dyDescent="0.3">
      <c r="A117" s="2" t="s">
        <v>440</v>
      </c>
      <c r="B117" s="3" t="s">
        <v>441</v>
      </c>
      <c r="C117" s="3" t="s">
        <v>442</v>
      </c>
      <c r="D117" s="3" t="s">
        <v>443</v>
      </c>
      <c r="E117" s="3" t="s">
        <v>443</v>
      </c>
      <c r="F117" s="4" t="s">
        <v>9</v>
      </c>
    </row>
    <row r="118" spans="1:6" x14ac:dyDescent="0.3">
      <c r="A118" s="2" t="s">
        <v>444</v>
      </c>
      <c r="B118" s="3" t="s">
        <v>445</v>
      </c>
      <c r="C118" s="3" t="s">
        <v>446</v>
      </c>
      <c r="D118" s="3" t="s">
        <v>447</v>
      </c>
      <c r="E118" s="3" t="s">
        <v>447</v>
      </c>
      <c r="F118" s="4" t="s">
        <v>9</v>
      </c>
    </row>
    <row r="119" spans="1:6" x14ac:dyDescent="0.3">
      <c r="A119" s="2" t="s">
        <v>448</v>
      </c>
      <c r="B119" s="3" t="s">
        <v>449</v>
      </c>
      <c r="C119" s="3" t="s">
        <v>450</v>
      </c>
      <c r="D119" s="3" t="s">
        <v>451</v>
      </c>
      <c r="E119" s="3" t="s">
        <v>451</v>
      </c>
      <c r="F119" s="4" t="s">
        <v>9</v>
      </c>
    </row>
    <row r="120" spans="1:6" x14ac:dyDescent="0.3">
      <c r="A120" s="2" t="s">
        <v>452</v>
      </c>
      <c r="B120" s="3" t="s">
        <v>453</v>
      </c>
      <c r="C120" s="3" t="s">
        <v>454</v>
      </c>
      <c r="D120" s="3" t="s">
        <v>455</v>
      </c>
      <c r="E120" s="3" t="s">
        <v>455</v>
      </c>
      <c r="F120" s="4" t="s">
        <v>9</v>
      </c>
    </row>
    <row r="121" spans="1:6" x14ac:dyDescent="0.3">
      <c r="A121" s="2" t="s">
        <v>456</v>
      </c>
      <c r="B121" s="3" t="s">
        <v>457</v>
      </c>
      <c r="C121" s="3" t="s">
        <v>458</v>
      </c>
      <c r="D121" s="3" t="s">
        <v>459</v>
      </c>
      <c r="E121" s="3" t="s">
        <v>459</v>
      </c>
      <c r="F121" s="4" t="s">
        <v>9</v>
      </c>
    </row>
  </sheetData>
  <autoFilter ref="A1:F121" xr:uid="{00000000-0009-0000-0000-000000000000}"/>
  <pageMargins left="0.75" right="0.75" top="1" bottom="1" header="0.5" footer="0.5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</cp:lastModifiedBy>
  <dcterms:created xsi:type="dcterms:W3CDTF">2026-06-21T16:56:50Z</dcterms:created>
  <dcterms:modified xsi:type="dcterms:W3CDTF">2026-06-21T17:01:50Z</dcterms:modified>
</cp:coreProperties>
</file>